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ssas" sheetId="1" state="visible" r:id="rId1"/>
    <sheet xmlns:r="http://schemas.openxmlformats.org/officeDocument/2006/relationships" name="Tabela KP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+0.0%;-0.0%;0.0%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595959"/>
    </font>
    <font>
      <b val="1"/>
      <sz val="12"/>
    </font>
    <font>
      <b val="1"/>
      <color rgb="00FFFFFF"/>
      <sz val="11"/>
    </font>
    <font>
      <b val="1"/>
      <color rgb="00C00000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305496"/>
        <bgColor rgb="0030549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3" borderId="1" pivotButton="0" quotePrefix="0" xfId="0"/>
    <xf numFmtId="0" fontId="3" fillId="0" borderId="0" pivotButton="0" quotePrefix="0" xfId="0"/>
    <xf numFmtId="164" fontId="0" fillId="3" borderId="1" pivotButton="0" quotePrefix="0" xfId="0"/>
    <xf numFmtId="165" fontId="0" fillId="3" borderId="1" pivotButton="0" quotePrefix="0" xfId="0"/>
    <xf numFmtId="3" fontId="0" fillId="4" borderId="1" pivotButton="0" quotePrefix="0" xfId="0"/>
    <xf numFmtId="164" fontId="0" fillId="4" borderId="1" pivotButton="0" quotePrefix="0" xfId="0"/>
    <xf numFmtId="164" fontId="2" fillId="4" borderId="1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2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6" fillId="6" borderId="1" pivotButton="0" quotePrefix="0" xfId="0"/>
    <xf numFmtId="164" fontId="0" fillId="6" borderId="1" pivotButton="0" quotePrefix="0" xfId="0"/>
    <xf numFmtId="3" fontId="0" fillId="6" borderId="1" pivotButton="0" quotePrefix="0" xfId="0"/>
    <xf numFmtId="2" fontId="0" fillId="6" borderId="1" pivotButton="0" quotePrefix="0" xfId="0"/>
    <xf numFmtId="167" fontId="0" fillId="6" borderId="1" pivotButton="0" quotePrefix="0" xfId="0"/>
    <xf numFmtId="166" fontId="0" fillId="6" borderId="1" pivotButton="0" quotePrefix="0" xfId="0"/>
    <xf numFmtId="165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65" customWidth="1" min="3" max="3"/>
  </cols>
  <sheetData>
    <row r="1">
      <c r="A1" s="1" t="inlineStr">
        <is>
          <t>PREMISSAS — 1T26 SmartFit Brasil</t>
        </is>
      </c>
    </row>
    <row r="3">
      <c r="A3" s="2" t="inlineStr">
        <is>
          <t>INPUTS OPERACIONAIS (amarelo = editável)</t>
        </is>
      </c>
    </row>
    <row r="4">
      <c r="A4" t="inlineStr">
        <is>
          <t># academias Smart Fit Brasil próprias EoP</t>
        </is>
      </c>
      <c r="B4" s="3" t="n">
        <v>720</v>
      </c>
      <c r="C4" s="4" t="inlineStr">
        <is>
          <t>+27 net adds vs 4T25 (1T tipicamente menor que 4T)</t>
        </is>
      </c>
    </row>
    <row r="5">
      <c r="A5" t="inlineStr">
        <is>
          <t># alunos Smart Fit Brasil próprias EoP (mil)</t>
        </is>
      </c>
      <c r="B5" s="3" t="n">
        <v>1818</v>
      </c>
      <c r="C5" s="4" t="inlineStr">
        <is>
          <t>+6% YoY (desaceleração; 1T25 foi +12% YoY vs 1T24)</t>
        </is>
      </c>
    </row>
    <row r="6">
      <c r="A6" t="inlineStr">
        <is>
          <t>Ticket ex-TP 1T26 (R$/mês — balcão puro)</t>
        </is>
      </c>
      <c r="B6" s="5" t="n">
        <v>105</v>
      </c>
      <c r="C6" s="4" t="inlineStr">
        <is>
          <t>1T25 ex-TP foi 104.6; +0.4% YoY (repasse Black novos cancela vs 1T25)</t>
        </is>
      </c>
    </row>
    <row r="8">
      <c r="A8" t="inlineStr"/>
    </row>
    <row r="9">
      <c r="A9" s="2" t="inlineStr">
        <is>
          <t>INPUTS TOTALPASS (editáveis)</t>
        </is>
      </c>
    </row>
    <row r="10">
      <c r="A10" t="inlineStr">
        <is>
          <t>TP freq% 1T26 (% check-ins TP em SF próprias BR)</t>
        </is>
      </c>
      <c r="B10" s="6" t="n">
        <v>0.165</v>
      </c>
      <c r="C10" s="4" t="inlineStr">
        <is>
          <t>Default: 2026 anual 18% × peso MAU 1T26 × intensidade 1.10 = 16.5%</t>
        </is>
      </c>
    </row>
    <row r="11">
      <c r="A11" t="inlineStr">
        <is>
          <t>TP rev% 1T26 (% receita SF própria BR via TP)</t>
        </is>
      </c>
      <c r="B11" s="6" t="n">
        <v>0.138</v>
      </c>
      <c r="C11" s="4" t="inlineStr">
        <is>
          <t>Default: 2026 anual 15% × mesmo peso = 13.8%</t>
        </is>
      </c>
    </row>
    <row r="13">
      <c r="A13" t="inlineStr"/>
    </row>
    <row r="14">
      <c r="A14" s="2" t="inlineStr">
        <is>
          <t>OUTPUTS DERIVADOS (verde = formula → muda quando você ajusta os inputs)</t>
        </is>
      </c>
    </row>
    <row r="15">
      <c r="A15" t="inlineStr">
        <is>
          <t>Alunos média 1T26 (mil)</t>
        </is>
      </c>
      <c r="B15" s="7">
        <f>(B5+1595)/2</f>
        <v/>
      </c>
      <c r="C15" s="4">
        <f> (alunos_EoP_1T26 + alunos_EoP_4T25=1595) / 2</f>
        <v/>
      </c>
    </row>
    <row r="16">
      <c r="A16" t="inlineStr">
        <is>
          <t># acad média 1T26</t>
        </is>
      </c>
      <c r="B16" s="8">
        <f>(B4+693)/2</f>
        <v/>
      </c>
      <c r="C16" s="4">
        <f> (acad_EoP_1T26 + acad_EoP_4T25=693) / 2</f>
        <v/>
      </c>
    </row>
    <row r="17">
      <c r="A17" t="inlineStr">
        <is>
          <t>Receita balcão 1T26 (R$ mm)</t>
        </is>
      </c>
      <c r="B17" s="8">
        <f>B6*B15*3/1000</f>
        <v/>
      </c>
      <c r="C17" s="4">
        <f> ticket_ex_TP × alunos_média × 3 meses / 1000</f>
        <v/>
      </c>
    </row>
    <row r="18">
      <c r="A18" t="inlineStr">
        <is>
          <t>Receita TOTAL Smart Fit Brasil 1T26 (R$ mm)</t>
        </is>
      </c>
      <c r="B18" s="9">
        <f>B17/(1-B11)</f>
        <v/>
      </c>
      <c r="C18" s="4">
        <f> receita_balcão / (1 - TP_rev%) — ESTE é o número comparável ao disclosed</f>
        <v/>
      </c>
    </row>
    <row r="19">
      <c r="A19" t="inlineStr">
        <is>
          <t>Ticket consolidado 1T26 (R$/mês — disclosed)</t>
        </is>
      </c>
      <c r="B19" s="8">
        <f>B6/(1-B11)</f>
        <v/>
      </c>
      <c r="C19" s="4">
        <f> ticket_ex_TP / (1 - TP_rev%) — comparável ao ticket reportado</f>
        <v/>
      </c>
    </row>
    <row r="20">
      <c r="A20" t="inlineStr"/>
    </row>
    <row r="21">
      <c r="A21" s="2" t="inlineStr">
        <is>
          <t>REFERÊNCIA — 1T25 (anchor YoY)</t>
        </is>
      </c>
    </row>
    <row r="22">
      <c r="A22" t="inlineStr">
        <is>
          <t>Receita Smart Fit Brasil 1T25</t>
        </is>
      </c>
      <c r="B22" s="10" t="n">
        <v>577.5</v>
      </c>
    </row>
    <row r="23">
      <c r="A23" t="inlineStr">
        <is>
          <t># academias EoP 1T25</t>
        </is>
      </c>
      <c r="B23" s="11" t="n">
        <v>573</v>
      </c>
    </row>
    <row r="24">
      <c r="A24" t="inlineStr">
        <is>
          <t># alunos EoP 1T25</t>
        </is>
      </c>
      <c r="B24" s="11" t="n">
        <v>1715</v>
      </c>
    </row>
    <row r="25">
      <c r="A25" t="inlineStr">
        <is>
          <t>Ticket ex-TP 1T25</t>
        </is>
      </c>
      <c r="B25" s="10" t="n">
        <v>104.6</v>
      </c>
    </row>
    <row r="26">
      <c r="A26" t="inlineStr">
        <is>
          <t>Ticket consolidado 1T25</t>
        </is>
      </c>
      <c r="B26" s="10" t="n">
        <v>117.6</v>
      </c>
    </row>
    <row r="27">
      <c r="A27" t="inlineStr">
        <is>
          <t>TP freq% 1T25</t>
        </is>
      </c>
      <c r="B27" s="12" t="n">
        <v>0.138</v>
      </c>
    </row>
    <row r="28">
      <c r="A28" t="inlineStr">
        <is>
          <t>TP rev% 1T25</t>
        </is>
      </c>
      <c r="B28" s="12" t="n">
        <v>0.11</v>
      </c>
    </row>
    <row r="29">
      <c r="A29" t="inlineStr"/>
    </row>
    <row r="30">
      <c r="A30" s="2" t="inlineStr">
        <is>
          <t>TP MAU Brasil — Sensor Tower (referência)</t>
        </is>
      </c>
    </row>
    <row r="31">
      <c r="A31" t="inlineStr">
        <is>
          <t>TP MAU 1T26 (Jan-Mar)</t>
        </is>
      </c>
      <c r="B31" s="11" t="n">
        <v>11554000</v>
      </c>
      <c r="C31" s="4" t="inlineStr">
        <is>
          <t>Real</t>
        </is>
      </c>
    </row>
    <row r="32">
      <c r="A32" t="inlineStr">
        <is>
          <t>TP MAU 1T25</t>
        </is>
      </c>
      <c r="B32" s="11" t="n">
        <v>5641066</v>
      </c>
      <c r="C32" s="4" t="inlineStr">
        <is>
          <t>+105% YoY MAU</t>
        </is>
      </c>
    </row>
    <row r="33">
      <c r="A33" t="inlineStr">
        <is>
          <t>TP MAU 2025 anual</t>
        </is>
      </c>
      <c r="B33" s="11" t="n">
        <v>27312195</v>
      </c>
      <c r="C33" s="4" t="inlineStr">
        <is>
          <t>anchor 15% freq disclosed</t>
        </is>
      </c>
    </row>
    <row r="34">
      <c r="A34" t="inlineStr">
        <is>
          <t>TP MAU 2024 anual</t>
        </is>
      </c>
      <c r="B34" s="11" t="n">
        <v>14646891</v>
      </c>
      <c r="C34" s="4" t="inlineStr">
        <is>
          <t>anchor 11% freq disclosed; growth 25/24 = +86%</t>
        </is>
      </c>
    </row>
    <row r="36">
      <c r="A36" s="2" t="inlineStr">
        <is>
          <t>NOTAS</t>
        </is>
      </c>
    </row>
    <row r="37">
      <c r="A37" s="13" t="inlineStr">
        <is>
          <t>• Receita NÃO é input direto — é OUTPUT de (alunos × ticket × 3) / (1 - TP_rev%).</t>
        </is>
      </c>
    </row>
    <row r="38">
      <c r="A38" s="13" t="inlineStr">
        <is>
          <t>• Sensibilize ticket ex-TP YoY: 1T25 foi 104.6, default 1T26 = 105.0 (+0.4% YoY).</t>
        </is>
      </c>
    </row>
    <row r="39">
      <c r="A39" s="13" t="inlineStr">
        <is>
          <t xml:space="preserve">  → Plano Black 1T26 tem repasse novo, mas o mesmo ocorreu em 1T25 (cancela YoY).</t>
        </is>
      </c>
    </row>
    <row r="40">
      <c r="A40" s="13" t="inlineStr">
        <is>
          <t xml:space="preserve">  → 1T25 ticket ex-TP já foi +4.7% YoY vs 1T24 (efeito Black acumulado).</t>
        </is>
      </c>
    </row>
    <row r="41">
      <c r="A41" s="13" t="inlineStr">
        <is>
          <t>• 4T25 ticket ex-TP foi 109.2 — levemente exagerado pelas 88 aberturas (alunos média baixa proporcional).</t>
        </is>
      </c>
    </row>
    <row r="42">
      <c r="A42" s="13" t="inlineStr">
        <is>
          <t>• Sazonalidade uso 1T = 1.10× → TP freq% 1T26 acima do anual 18% × intensidade.</t>
        </is>
      </c>
    </row>
    <row r="43">
      <c r="A43" s="13" t="inlineStr">
        <is>
          <t>• TP MAU 1T26 = 11.55M (+105% YoY). Se 2026 anual = 18% freq, 1T26 ≈ 16.5%.</t>
        </is>
      </c>
    </row>
    <row r="44">
      <c r="A44" s="13" t="inlineStr">
        <is>
          <t>• Mude qualquer célula amarela e a Tabela KPIs recalcula tudo.</t>
        </is>
      </c>
    </row>
  </sheetData>
  <mergeCells count="15">
    <mergeCell ref="A42:C42"/>
    <mergeCell ref="A41:C41"/>
    <mergeCell ref="A36:C36"/>
    <mergeCell ref="A44:C44"/>
    <mergeCell ref="A1:C1"/>
    <mergeCell ref="A37:C37"/>
    <mergeCell ref="A14:C14"/>
    <mergeCell ref="A40:C40"/>
    <mergeCell ref="A9:C9"/>
    <mergeCell ref="A3:C3"/>
    <mergeCell ref="A21:C21"/>
    <mergeCell ref="A30:C30"/>
    <mergeCell ref="A39:C39"/>
    <mergeCell ref="A43:C43"/>
    <mergeCell ref="A38:C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13" customWidth="1" min="4" max="4"/>
    <col width="11" customWidth="1" min="5" max="5"/>
    <col width="12" customWidth="1" min="6" max="6"/>
    <col width="14" customWidth="1" min="7" max="7"/>
    <col width="9" customWidth="1" min="8" max="8"/>
    <col width="13" customWidth="1" min="9" max="9"/>
    <col width="9" customWidth="1" min="10" max="10"/>
    <col width="12" customWidth="1" min="11" max="11"/>
    <col width="9" customWidth="1" min="12" max="12"/>
    <col width="17" customWidth="1" min="13" max="13"/>
    <col width="9" customWidth="1" min="14" max="14"/>
    <col width="14" customWidth="1" min="15" max="15"/>
    <col width="9" customWidth="1" min="16" max="16"/>
    <col width="10" customWidth="1" min="17" max="17"/>
    <col width="10" customWidth="1" min="18" max="18"/>
  </cols>
  <sheetData>
    <row r="1">
      <c r="A1" s="14" t="inlineStr">
        <is>
          <t>Smart Fit Brasil próprias — KPIs operacionais</t>
        </is>
      </c>
    </row>
    <row r="2">
      <c r="A2" s="4" t="inlineStr">
        <is>
          <t>Histórico 1T23-4T25 + estimativa 1T26 (linha amarela = recalcula com Premissas)</t>
        </is>
      </c>
    </row>
    <row r="4" ht="32" customHeight="1">
      <c r="A4" s="15" t="inlineStr">
        <is>
          <t>Período</t>
        </is>
      </c>
      <c r="B4" s="15" t="inlineStr">
        <is>
          <t>Receita BR (R$ mm)</t>
        </is>
      </c>
      <c r="C4" s="15" t="inlineStr">
        <is>
          <t># acad EoP</t>
        </is>
      </c>
      <c r="D4" s="15" t="inlineStr">
        <is>
          <t>Alunos EoP (mil)</t>
        </is>
      </c>
      <c r="E4" s="15" t="inlineStr">
        <is>
          <t># acad média</t>
        </is>
      </c>
      <c r="F4" s="15" t="inlineStr">
        <is>
          <t>Alunos média (mil)</t>
        </is>
      </c>
      <c r="G4" s="15" t="inlineStr">
        <is>
          <t>R/Loja anual (R$ mm)</t>
        </is>
      </c>
      <c r="H4" s="15" t="inlineStr">
        <is>
          <t>YoY</t>
        </is>
      </c>
      <c r="I4" s="15" t="inlineStr">
        <is>
          <t>Ticket mensal (R$)</t>
        </is>
      </c>
      <c r="J4" s="15" t="inlineStr">
        <is>
          <t>YoY</t>
        </is>
      </c>
      <c r="K4" s="15" t="inlineStr">
        <is>
          <t>Alunos/loja (mil)</t>
        </is>
      </c>
      <c r="L4" s="15" t="inlineStr">
        <is>
          <t>YoY</t>
        </is>
      </c>
      <c r="M4" s="15" t="inlineStr">
        <is>
          <t>Alunos/loja c/TP (mil)</t>
        </is>
      </c>
      <c r="N4" s="15" t="inlineStr">
        <is>
          <t>YoY</t>
        </is>
      </c>
      <c r="O4" s="15" t="inlineStr">
        <is>
          <t>Ticket ex-TP (R$)</t>
        </is>
      </c>
      <c r="P4" s="15" t="inlineStr">
        <is>
          <t>YoY</t>
        </is>
      </c>
      <c r="Q4" s="15" t="inlineStr">
        <is>
          <t>TP freq%</t>
        </is>
      </c>
      <c r="R4" s="15" t="inlineStr">
        <is>
          <t>TP rev%</t>
        </is>
      </c>
    </row>
    <row r="5">
      <c r="A5" s="16" t="inlineStr">
        <is>
          <t>4T22</t>
        </is>
      </c>
      <c r="C5" s="11" t="n">
        <v>429</v>
      </c>
      <c r="D5" s="11" t="n">
        <v>1165</v>
      </c>
    </row>
    <row r="6">
      <c r="A6" s="16" t="inlineStr">
        <is>
          <t>1T23</t>
        </is>
      </c>
      <c r="B6" s="10" t="n">
        <v>383.5</v>
      </c>
      <c r="C6" s="11" t="n">
        <v>431</v>
      </c>
      <c r="D6" s="11" t="n">
        <v>1307</v>
      </c>
      <c r="E6" s="10">
        <f>(C6+C5)/2</f>
        <v/>
      </c>
      <c r="F6" s="11">
        <f>(D6+D5)/2</f>
        <v/>
      </c>
      <c r="G6" s="17">
        <f>B6*4/E6</f>
        <v/>
      </c>
      <c r="I6" s="18">
        <f>B6*1000/3/F6</f>
        <v/>
      </c>
      <c r="K6" s="17">
        <f>F6/E6/1000</f>
        <v/>
      </c>
    </row>
    <row r="7">
      <c r="A7" s="16" t="inlineStr">
        <is>
          <t>2T23</t>
        </is>
      </c>
      <c r="B7" s="10" t="n">
        <v>405.7</v>
      </c>
      <c r="C7" s="11" t="n">
        <v>431</v>
      </c>
      <c r="D7" s="11" t="n">
        <v>1277</v>
      </c>
      <c r="E7" s="10">
        <f>(C7+C6)/2</f>
        <v/>
      </c>
      <c r="F7" s="11">
        <f>(D7+D6)/2</f>
        <v/>
      </c>
      <c r="G7" s="17">
        <f>B7*4/E7</f>
        <v/>
      </c>
      <c r="I7" s="18">
        <f>B7*1000/3/F7</f>
        <v/>
      </c>
      <c r="K7" s="17">
        <f>F7/E7/1000</f>
        <v/>
      </c>
    </row>
    <row r="8">
      <c r="A8" s="16" t="inlineStr">
        <is>
          <t>3T23</t>
        </is>
      </c>
      <c r="B8" s="10" t="n">
        <v>413</v>
      </c>
      <c r="C8" s="11" t="n">
        <v>448</v>
      </c>
      <c r="D8" s="11" t="n">
        <v>1316</v>
      </c>
      <c r="E8" s="10">
        <f>(C8+C7)/2</f>
        <v/>
      </c>
      <c r="F8" s="11">
        <f>(D8+D7)/2</f>
        <v/>
      </c>
      <c r="G8" s="17">
        <f>B8*4/E8</f>
        <v/>
      </c>
      <c r="I8" s="18">
        <f>B8*1000/3/F8</f>
        <v/>
      </c>
      <c r="K8" s="17">
        <f>F8/E8/1000</f>
        <v/>
      </c>
    </row>
    <row r="9">
      <c r="A9" s="16" t="inlineStr">
        <is>
          <t>4T23</t>
        </is>
      </c>
      <c r="B9" s="10" t="n">
        <v>425.1</v>
      </c>
      <c r="C9" s="11" t="n">
        <v>486</v>
      </c>
      <c r="D9" s="11" t="n">
        <v>1353</v>
      </c>
      <c r="E9" s="10">
        <f>(C9+C8)/2</f>
        <v/>
      </c>
      <c r="F9" s="11">
        <f>(D9+D8)/2</f>
        <v/>
      </c>
      <c r="G9" s="17">
        <f>B9*4/E9</f>
        <v/>
      </c>
      <c r="H9" s="19">
        <f>IFERROR(G9/G5-1,"")</f>
        <v/>
      </c>
      <c r="I9" s="18">
        <f>B9*1000/3/F9</f>
        <v/>
      </c>
      <c r="J9" s="19">
        <f>IFERROR(I9/I5-1,"")</f>
        <v/>
      </c>
      <c r="K9" s="17">
        <f>F9/E9/1000</f>
        <v/>
      </c>
      <c r="L9" s="19">
        <f>IFERROR(K9/K5-1,"")</f>
        <v/>
      </c>
      <c r="N9" s="19">
        <f>IFERROR(M9/M5-1,"")</f>
        <v/>
      </c>
      <c r="P9" s="19">
        <f>IFERROR(O9/O5-1,"")</f>
        <v/>
      </c>
    </row>
    <row r="10">
      <c r="A10" s="16" t="inlineStr">
        <is>
          <t>1T24</t>
        </is>
      </c>
      <c r="B10" s="10" t="n">
        <v>464.8</v>
      </c>
      <c r="C10" s="11" t="n">
        <v>493</v>
      </c>
      <c r="D10" s="11" t="n">
        <v>1525</v>
      </c>
      <c r="E10" s="10">
        <f>(C10+C9)/2</f>
        <v/>
      </c>
      <c r="F10" s="11">
        <f>(D10+D9)/2</f>
        <v/>
      </c>
      <c r="G10" s="17">
        <f>B10*4/E10</f>
        <v/>
      </c>
      <c r="H10" s="19">
        <f>IFERROR(G10/G6-1,"")</f>
        <v/>
      </c>
      <c r="I10" s="18">
        <f>B10*1000/3/F10</f>
        <v/>
      </c>
      <c r="J10" s="19">
        <f>IFERROR(I10/I6-1,"")</f>
        <v/>
      </c>
      <c r="K10" s="17">
        <f>F10/E10/1000</f>
        <v/>
      </c>
      <c r="L10" s="19">
        <f>IFERROR(K10/K6-1,"")</f>
        <v/>
      </c>
      <c r="M10" s="17">
        <f>F10/(1-Q10)/E10/1000</f>
        <v/>
      </c>
      <c r="N10" s="19">
        <f>IFERROR(M10/M6-1,"")</f>
        <v/>
      </c>
      <c r="O10" s="18">
        <f>B10*(1-R10)*1000/3/F10</f>
        <v/>
      </c>
      <c r="P10" s="19">
        <f>IFERROR(O10/O6-1,"")</f>
        <v/>
      </c>
      <c r="Q10" s="12" t="n">
        <v>0.09269999999999999</v>
      </c>
      <c r="R10" s="12" t="n">
        <v>0.0674</v>
      </c>
    </row>
    <row r="11">
      <c r="A11" s="16" t="inlineStr">
        <is>
          <t>2T24</t>
        </is>
      </c>
      <c r="B11" s="10" t="n">
        <v>482</v>
      </c>
      <c r="C11" s="11" t="n">
        <v>506</v>
      </c>
      <c r="D11" s="11" t="n">
        <v>1515</v>
      </c>
      <c r="E11" s="10">
        <f>(C11+C10)/2</f>
        <v/>
      </c>
      <c r="F11" s="11">
        <f>(D11+D10)/2</f>
        <v/>
      </c>
      <c r="G11" s="17">
        <f>B11*4/E11</f>
        <v/>
      </c>
      <c r="H11" s="19">
        <f>IFERROR(G11/G7-1,"")</f>
        <v/>
      </c>
      <c r="I11" s="18">
        <f>B11*1000/3/F11</f>
        <v/>
      </c>
      <c r="J11" s="19">
        <f>IFERROR(I11/I7-1,"")</f>
        <v/>
      </c>
      <c r="K11" s="17">
        <f>F11/E11/1000</f>
        <v/>
      </c>
      <c r="L11" s="19">
        <f>IFERROR(K11/K7-1,"")</f>
        <v/>
      </c>
      <c r="M11" s="17">
        <f>F11/(1-Q11)/E11/1000</f>
        <v/>
      </c>
      <c r="N11" s="19">
        <f>IFERROR(M11/M7-1,"")</f>
        <v/>
      </c>
      <c r="O11" s="18">
        <f>B11*(1-R11)*1000/3/F11</f>
        <v/>
      </c>
      <c r="P11" s="19">
        <f>IFERROR(O11/O7-1,"")</f>
        <v/>
      </c>
      <c r="Q11" s="12" t="n">
        <v>0.0978</v>
      </c>
      <c r="R11" s="12" t="n">
        <v>0.0711</v>
      </c>
    </row>
    <row r="12">
      <c r="A12" s="16" t="inlineStr">
        <is>
          <t>3T24</t>
        </is>
      </c>
      <c r="B12" s="10" t="n">
        <v>503.7</v>
      </c>
      <c r="C12" s="11" t="n">
        <v>525</v>
      </c>
      <c r="D12" s="11" t="n">
        <v>1559</v>
      </c>
      <c r="E12" s="10">
        <f>(C12+C11)/2</f>
        <v/>
      </c>
      <c r="F12" s="11">
        <f>(D12+D11)/2</f>
        <v/>
      </c>
      <c r="G12" s="17">
        <f>B12*4/E12</f>
        <v/>
      </c>
      <c r="H12" s="19">
        <f>IFERROR(G12/G8-1,"")</f>
        <v/>
      </c>
      <c r="I12" s="18">
        <f>B12*1000/3/F12</f>
        <v/>
      </c>
      <c r="J12" s="19">
        <f>IFERROR(I12/I8-1,"")</f>
        <v/>
      </c>
      <c r="K12" s="17">
        <f>F12/E12/1000</f>
        <v/>
      </c>
      <c r="L12" s="19">
        <f>IFERROR(K12/K8-1,"")</f>
        <v/>
      </c>
      <c r="M12" s="17">
        <f>F12/(1-Q12)/E12/1000</f>
        <v/>
      </c>
      <c r="N12" s="19">
        <f>IFERROR(M12/M8-1,"")</f>
        <v/>
      </c>
      <c r="O12" s="18">
        <f>B12*(1-R12)*1000/3/F12</f>
        <v/>
      </c>
      <c r="P12" s="19">
        <f>IFERROR(O12/O8-1,"")</f>
        <v/>
      </c>
      <c r="Q12" s="12" t="n">
        <v>0.1274</v>
      </c>
      <c r="R12" s="12" t="n">
        <v>0.09269999999999999</v>
      </c>
    </row>
    <row r="13">
      <c r="A13" s="16" t="inlineStr">
        <is>
          <t>4T24</t>
        </is>
      </c>
      <c r="B13" s="10" t="n">
        <v>524</v>
      </c>
      <c r="C13" s="11" t="n">
        <v>569</v>
      </c>
      <c r="D13" s="11" t="n">
        <v>1560</v>
      </c>
      <c r="E13" s="10">
        <f>(C13+C12)/2</f>
        <v/>
      </c>
      <c r="F13" s="11">
        <f>(D13+D12)/2</f>
        <v/>
      </c>
      <c r="G13" s="17">
        <f>B13*4/E13</f>
        <v/>
      </c>
      <c r="H13" s="19">
        <f>IFERROR(G13/G9-1,"")</f>
        <v/>
      </c>
      <c r="I13" s="18">
        <f>B13*1000/3/F13</f>
        <v/>
      </c>
      <c r="J13" s="19">
        <f>IFERROR(I13/I9-1,"")</f>
        <v/>
      </c>
      <c r="K13" s="17">
        <f>F13/E13/1000</f>
        <v/>
      </c>
      <c r="L13" s="19">
        <f>IFERROR(K13/K9-1,"")</f>
        <v/>
      </c>
      <c r="M13" s="17">
        <f>F13/(1-Q13)/E13/1000</f>
        <v/>
      </c>
      <c r="N13" s="19">
        <f>IFERROR(M13/M9-1,"")</f>
        <v/>
      </c>
      <c r="O13" s="18">
        <f>B13*(1-R13)*1000/3/F13</f>
        <v/>
      </c>
      <c r="P13" s="19">
        <f>IFERROR(O13/O9-1,"")</f>
        <v/>
      </c>
      <c r="Q13" s="12" t="n">
        <v>0.1221</v>
      </c>
      <c r="R13" s="12" t="n">
        <v>0.0888</v>
      </c>
    </row>
    <row r="14">
      <c r="A14" s="16" t="inlineStr">
        <is>
          <t>1T25</t>
        </is>
      </c>
      <c r="B14" s="10" t="n">
        <v>577.5</v>
      </c>
      <c r="C14" s="11" t="n">
        <v>573</v>
      </c>
      <c r="D14" s="11" t="n">
        <v>1715</v>
      </c>
      <c r="E14" s="10">
        <f>(C14+C13)/2</f>
        <v/>
      </c>
      <c r="F14" s="11">
        <f>(D14+D13)/2</f>
        <v/>
      </c>
      <c r="G14" s="17">
        <f>B14*4/E14</f>
        <v/>
      </c>
      <c r="H14" s="19">
        <f>IFERROR(G14/G10-1,"")</f>
        <v/>
      </c>
      <c r="I14" s="18">
        <f>B14*1000/3/F14</f>
        <v/>
      </c>
      <c r="J14" s="19">
        <f>IFERROR(I14/I10-1,"")</f>
        <v/>
      </c>
      <c r="K14" s="17">
        <f>F14/E14/1000</f>
        <v/>
      </c>
      <c r="L14" s="19">
        <f>IFERROR(K14/K10-1,"")</f>
        <v/>
      </c>
      <c r="M14" s="17">
        <f>F14/(1-Q14)/E14/1000</f>
        <v/>
      </c>
      <c r="N14" s="19">
        <f>IFERROR(M14/M10-1,"")</f>
        <v/>
      </c>
      <c r="O14" s="18">
        <f>B14*(1-R14)*1000/3/F14</f>
        <v/>
      </c>
      <c r="P14" s="19">
        <f>IFERROR(O14/O10-1,"")</f>
        <v/>
      </c>
      <c r="Q14" s="12" t="n">
        <v>0.1376</v>
      </c>
      <c r="R14" s="12" t="n">
        <v>0.1101</v>
      </c>
    </row>
    <row r="15">
      <c r="A15" s="16" t="inlineStr">
        <is>
          <t>2T25</t>
        </is>
      </c>
      <c r="B15" s="10" t="n">
        <v>595.7</v>
      </c>
      <c r="C15" s="11" t="n">
        <v>587</v>
      </c>
      <c r="D15" s="11" t="n">
        <v>1635</v>
      </c>
      <c r="E15" s="10">
        <f>(C15+C14)/2</f>
        <v/>
      </c>
      <c r="F15" s="11">
        <f>(D15+D14)/2</f>
        <v/>
      </c>
      <c r="G15" s="17">
        <f>B15*4/E15</f>
        <v/>
      </c>
      <c r="H15" s="19">
        <f>IFERROR(G15/G11-1,"")</f>
        <v/>
      </c>
      <c r="I15" s="18">
        <f>B15*1000/3/F15</f>
        <v/>
      </c>
      <c r="J15" s="19">
        <f>IFERROR(I15/I11-1,"")</f>
        <v/>
      </c>
      <c r="K15" s="17">
        <f>F15/E15/1000</f>
        <v/>
      </c>
      <c r="L15" s="19">
        <f>IFERROR(K15/K11-1,"")</f>
        <v/>
      </c>
      <c r="M15" s="17">
        <f>F15/(1-Q15)/E15/1000</f>
        <v/>
      </c>
      <c r="N15" s="19">
        <f>IFERROR(M15/M11-1,"")</f>
        <v/>
      </c>
      <c r="O15" s="18">
        <f>B15*(1-R15)*1000/3/F15</f>
        <v/>
      </c>
      <c r="P15" s="19">
        <f>IFERROR(O15/O11-1,"")</f>
        <v/>
      </c>
      <c r="Q15" s="12" t="n">
        <v>0.1252</v>
      </c>
      <c r="R15" s="12" t="n">
        <v>0.1002</v>
      </c>
    </row>
    <row r="16">
      <c r="A16" s="16" t="inlineStr">
        <is>
          <t>3T25</t>
        </is>
      </c>
      <c r="B16" s="10" t="n">
        <v>605.3</v>
      </c>
      <c r="C16" s="11" t="n">
        <v>605</v>
      </c>
      <c r="D16" s="11" t="n">
        <v>1620</v>
      </c>
      <c r="E16" s="10">
        <f>(C16+C15)/2</f>
        <v/>
      </c>
      <c r="F16" s="11">
        <f>(D16+D15)/2</f>
        <v/>
      </c>
      <c r="G16" s="17">
        <f>B16*4/E16</f>
        <v/>
      </c>
      <c r="H16" s="19">
        <f>IFERROR(G16/G12-1,"")</f>
        <v/>
      </c>
      <c r="I16" s="18">
        <f>B16*1000/3/F16</f>
        <v/>
      </c>
      <c r="J16" s="19">
        <f>IFERROR(I16/I12-1,"")</f>
        <v/>
      </c>
      <c r="K16" s="17">
        <f>F16/E16/1000</f>
        <v/>
      </c>
      <c r="L16" s="19">
        <f>IFERROR(K16/K12-1,"")</f>
        <v/>
      </c>
      <c r="M16" s="17">
        <f>F16/(1-Q16)/E16/1000</f>
        <v/>
      </c>
      <c r="N16" s="19">
        <f>IFERROR(M16/M12-1,"")</f>
        <v/>
      </c>
      <c r="O16" s="18">
        <f>B16*(1-R16)*1000/3/F16</f>
        <v/>
      </c>
      <c r="P16" s="19">
        <f>IFERROR(O16/O12-1,"")</f>
        <v/>
      </c>
      <c r="Q16" s="12" t="n">
        <v>0.1631</v>
      </c>
      <c r="R16" s="12" t="n">
        <v>0.1305</v>
      </c>
    </row>
    <row r="17">
      <c r="A17" s="16" t="inlineStr">
        <is>
          <t>4T25</t>
        </is>
      </c>
      <c r="B17" s="10" t="n">
        <v>611.7</v>
      </c>
      <c r="C17" s="11" t="n">
        <v>693</v>
      </c>
      <c r="D17" s="11" t="n">
        <v>1595</v>
      </c>
      <c r="E17" s="10">
        <f>(C17+C16)/2</f>
        <v/>
      </c>
      <c r="F17" s="11">
        <f>(D17+D16)/2</f>
        <v/>
      </c>
      <c r="G17" s="17">
        <f>B17*4/E17</f>
        <v/>
      </c>
      <c r="H17" s="19">
        <f>IFERROR(G17/G13-1,"")</f>
        <v/>
      </c>
      <c r="I17" s="18">
        <f>B17*1000/3/F17</f>
        <v/>
      </c>
      <c r="J17" s="19">
        <f>IFERROR(I17/I13-1,"")</f>
        <v/>
      </c>
      <c r="K17" s="17">
        <f>F17/E17/1000</f>
        <v/>
      </c>
      <c r="L17" s="19">
        <f>IFERROR(K17/K13-1,"")</f>
        <v/>
      </c>
      <c r="M17" s="17">
        <f>F17/(1-Q17)/E17/1000</f>
        <v/>
      </c>
      <c r="N17" s="19">
        <f>IFERROR(M17/M13-1,"")</f>
        <v/>
      </c>
      <c r="O17" s="18">
        <f>B17*(1-R17)*1000/3/F17</f>
        <v/>
      </c>
      <c r="P17" s="19">
        <f>IFERROR(O17/O13-1,"")</f>
        <v/>
      </c>
      <c r="Q17" s="12" t="n">
        <v>0.1741</v>
      </c>
      <c r="R17" s="12" t="n">
        <v>0.1393</v>
      </c>
    </row>
    <row r="18">
      <c r="A18" s="20" t="inlineStr">
        <is>
          <t>1T26 (est)</t>
        </is>
      </c>
      <c r="B18" s="21">
        <f>O18*F18*3/1000/(1-R18)</f>
        <v/>
      </c>
      <c r="C18" s="22">
        <f>Premissas!B4</f>
        <v/>
      </c>
      <c r="D18" s="22">
        <f>Premissas!B5</f>
        <v/>
      </c>
      <c r="E18" s="21">
        <f>(C18+C17)/2</f>
        <v/>
      </c>
      <c r="F18" s="22">
        <f>(D18+D17)/2</f>
        <v/>
      </c>
      <c r="G18" s="23">
        <f>B18*4/E18</f>
        <v/>
      </c>
      <c r="H18" s="24">
        <f>IFERROR(G18/G14-1,"")</f>
        <v/>
      </c>
      <c r="I18" s="25">
        <f>B18*1000/3/F18</f>
        <v/>
      </c>
      <c r="J18" s="24">
        <f>IFERROR(I18/I14-1,"")</f>
        <v/>
      </c>
      <c r="K18" s="23">
        <f>F18/E18/1000</f>
        <v/>
      </c>
      <c r="L18" s="24">
        <f>IFERROR(K18/K14-1,"")</f>
        <v/>
      </c>
      <c r="M18" s="23">
        <f>F18/(1-Q18)/E18/1000</f>
        <v/>
      </c>
      <c r="N18" s="24">
        <f>IFERROR(M18/M14-1,"")</f>
        <v/>
      </c>
      <c r="O18" s="25">
        <f>Premissas!B6</f>
        <v/>
      </c>
      <c r="P18" s="24">
        <f>IFERROR(O18/O14-1,"")</f>
        <v/>
      </c>
      <c r="Q18" s="26">
        <f>Premissas!B10</f>
        <v/>
      </c>
      <c r="R18" s="26">
        <f>Premissas!B11</f>
        <v/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2026-05-01T14:18:55Z</dcterms:created>
  <dcterms:modified xmlns:dcterms="http://purl.org/dc/terms/" xmlns:xsi="http://www.w3.org/2001/XMLSchema-instance" xsi:type="dcterms:W3CDTF">2026-05-01T14:18:55Z</dcterms:modified>
</cp:coreProperties>
</file>