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diogo.bodas\Desktop\Equity-wiki\equity-wiki\analises\"/>
    </mc:Choice>
  </mc:AlternateContent>
  <xr:revisionPtr revIDLastSave="0" documentId="13_ncr:20001_{FAB37B8F-7D55-4911-B1EC-32793C82495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ela KPIs" sheetId="2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7" i="2" l="1"/>
  <c r="T16" i="2"/>
  <c r="T15" i="2"/>
  <c r="T14" i="2"/>
  <c r="T13" i="2"/>
  <c r="T12" i="2"/>
  <c r="T11" i="2"/>
  <c r="T10" i="2"/>
  <c r="C18" i="2" l="1"/>
  <c r="M21" i="2" l="1"/>
  <c r="O25" i="2"/>
  <c r="O21" i="2"/>
  <c r="S17" i="2"/>
  <c r="S16" i="2"/>
  <c r="S15" i="2"/>
  <c r="S14" i="2"/>
  <c r="S13" i="2"/>
  <c r="S12" i="2"/>
  <c r="S11" i="2"/>
  <c r="S10" i="2"/>
  <c r="R18" i="2"/>
  <c r="S18" i="2" s="1"/>
  <c r="K17" i="2"/>
  <c r="K16" i="2"/>
  <c r="K15" i="2"/>
  <c r="K14" i="2"/>
  <c r="K13" i="2"/>
  <c r="K12" i="2"/>
  <c r="K11" i="2"/>
  <c r="K10" i="2"/>
  <c r="K9" i="2"/>
  <c r="K8" i="2"/>
  <c r="K7" i="2"/>
  <c r="K6" i="2"/>
  <c r="M17" i="2"/>
  <c r="M15" i="2"/>
  <c r="M14" i="2"/>
  <c r="M13" i="2"/>
  <c r="M12" i="2"/>
  <c r="M11" i="2"/>
  <c r="M10" i="2"/>
  <c r="M16" i="2"/>
  <c r="P18" i="2" l="1"/>
  <c r="F18" i="2"/>
  <c r="E18" i="2"/>
  <c r="O17" i="2"/>
  <c r="P17" i="2" s="1"/>
  <c r="I17" i="2"/>
  <c r="J17" i="2" s="1"/>
  <c r="F17" i="2"/>
  <c r="N17" i="2" s="1"/>
  <c r="E17" i="2"/>
  <c r="G17" i="2" s="1"/>
  <c r="O16" i="2"/>
  <c r="P16" i="2" s="1"/>
  <c r="I16" i="2"/>
  <c r="J16" i="2" s="1"/>
  <c r="F16" i="2"/>
  <c r="E16" i="2"/>
  <c r="G16" i="2" s="1"/>
  <c r="H16" i="2" s="1"/>
  <c r="O15" i="2"/>
  <c r="P15" i="2" s="1"/>
  <c r="I15" i="2"/>
  <c r="J15" i="2" s="1"/>
  <c r="F15" i="2"/>
  <c r="N15" i="2" s="1"/>
  <c r="E15" i="2"/>
  <c r="G15" i="2" s="1"/>
  <c r="O14" i="2"/>
  <c r="P14" i="2" s="1"/>
  <c r="I14" i="2"/>
  <c r="J14" i="2" s="1"/>
  <c r="F14" i="2"/>
  <c r="E14" i="2"/>
  <c r="G14" i="2" s="1"/>
  <c r="O13" i="2"/>
  <c r="P13" i="2" s="1"/>
  <c r="I13" i="2"/>
  <c r="F13" i="2"/>
  <c r="N13" i="2" s="1"/>
  <c r="E13" i="2"/>
  <c r="G13" i="2" s="1"/>
  <c r="H13" i="2" s="1"/>
  <c r="O12" i="2"/>
  <c r="P12" i="2" s="1"/>
  <c r="I12" i="2"/>
  <c r="F12" i="2"/>
  <c r="N12" i="2" s="1"/>
  <c r="E12" i="2"/>
  <c r="G12" i="2" s="1"/>
  <c r="O11" i="2"/>
  <c r="P11" i="2" s="1"/>
  <c r="I11" i="2"/>
  <c r="F11" i="2"/>
  <c r="N11" i="2" s="1"/>
  <c r="E11" i="2"/>
  <c r="G11" i="2" s="1"/>
  <c r="O10" i="2"/>
  <c r="P10" i="2" s="1"/>
  <c r="I10" i="2"/>
  <c r="F10" i="2"/>
  <c r="N10" i="2" s="1"/>
  <c r="E10" i="2"/>
  <c r="G10" i="2" s="1"/>
  <c r="P9" i="2"/>
  <c r="N9" i="2"/>
  <c r="G9" i="2"/>
  <c r="H9" i="2" s="1"/>
  <c r="F9" i="2"/>
  <c r="L9" i="2" s="1"/>
  <c r="E9" i="2"/>
  <c r="F8" i="2"/>
  <c r="E8" i="2"/>
  <c r="G8" i="2" s="1"/>
  <c r="F7" i="2"/>
  <c r="E7" i="2"/>
  <c r="G7" i="2" s="1"/>
  <c r="F6" i="2"/>
  <c r="I6" i="2" s="1"/>
  <c r="E6" i="2"/>
  <c r="G6" i="2" s="1"/>
  <c r="K18" i="2" l="1"/>
  <c r="M18" i="2"/>
  <c r="H11" i="2"/>
  <c r="H14" i="2"/>
  <c r="H17" i="2"/>
  <c r="N14" i="2"/>
  <c r="H10" i="2"/>
  <c r="N16" i="2"/>
  <c r="J10" i="2"/>
  <c r="H12" i="2"/>
  <c r="J13" i="2"/>
  <c r="H15" i="2"/>
  <c r="I8" i="2"/>
  <c r="J12" i="2" s="1"/>
  <c r="I9" i="2"/>
  <c r="J9" i="2" s="1"/>
  <c r="L10" i="2"/>
  <c r="L11" i="2"/>
  <c r="L12" i="2"/>
  <c r="L13" i="2"/>
  <c r="L14" i="2"/>
  <c r="L16" i="2"/>
  <c r="L17" i="2"/>
  <c r="B18" i="2"/>
  <c r="I7" i="2"/>
  <c r="J11" i="2" s="1"/>
  <c r="M25" i="2" l="1"/>
  <c r="T18" i="2"/>
  <c r="N18" i="2"/>
  <c r="L18" i="2"/>
  <c r="L15" i="2"/>
  <c r="I18" i="2"/>
  <c r="J18" i="2" s="1"/>
  <c r="G18" i="2"/>
  <c r="H18" i="2" s="1"/>
</calcChain>
</file>

<file path=xl/sharedStrings.xml><?xml version="1.0" encoding="utf-8"?>
<sst xmlns="http://schemas.openxmlformats.org/spreadsheetml/2006/main" count="43" uniqueCount="37">
  <si>
    <t>Smart Fit Brasil próprias — KPIs operacionais</t>
  </si>
  <si>
    <t>Histórico 1T23-4T25 + estimativa 1T26 (linha amarela = recalcula com Premissas)</t>
  </si>
  <si>
    <t>Período</t>
  </si>
  <si>
    <t>Receita BR (R$ mm)</t>
  </si>
  <si>
    <t># acad EoP</t>
  </si>
  <si>
    <t>Alunos EoP (mil)</t>
  </si>
  <si>
    <t># acad média</t>
  </si>
  <si>
    <t>Alunos média (mil)</t>
  </si>
  <si>
    <t>R/Loja anual (R$ mm)</t>
  </si>
  <si>
    <t>YoY</t>
  </si>
  <si>
    <t>Ticket mensal (R$)</t>
  </si>
  <si>
    <t>Alunos/loja (mil)</t>
  </si>
  <si>
    <t>Alunos/loja c/TP (mil)</t>
  </si>
  <si>
    <t>Ticket ex-TP (R$)</t>
  </si>
  <si>
    <t>TP freq%</t>
  </si>
  <si>
    <t>TP rev%</t>
  </si>
  <si>
    <t>4T22</t>
  </si>
  <si>
    <t>1T23</t>
  </si>
  <si>
    <t>2T23</t>
  </si>
  <si>
    <t>3T23</t>
  </si>
  <si>
    <t>4T23</t>
  </si>
  <si>
    <t>1T24</t>
  </si>
  <si>
    <t>2T24</t>
  </si>
  <si>
    <t>3T24</t>
  </si>
  <si>
    <t>4T24</t>
  </si>
  <si>
    <t>1T25</t>
  </si>
  <si>
    <t>2T25</t>
  </si>
  <si>
    <t>3T25</t>
  </si>
  <si>
    <t>4T25</t>
  </si>
  <si>
    <t>1T26 (est)</t>
  </si>
  <si>
    <t>Delta Ticket 3T-&gt; 1T</t>
  </si>
  <si>
    <t>2024-2025</t>
  </si>
  <si>
    <t>2025-2026</t>
  </si>
  <si>
    <t>Gap Freq % - Receita %</t>
  </si>
  <si>
    <t>Delta Alunos Total 3T-&gt;1T</t>
  </si>
  <si>
    <t>% Alunos Totais hoje vs 2019</t>
  </si>
  <si>
    <t>Teve repasse de preço igual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</si>
</sst>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0.0%"/>
    <numFmt numFmtId="166" formatCode="0.0"/>
    <numFmt numFmtId="167" formatCode="\+0.0%;\-0.0%;0.0%"/>
  </numFmts>
  <fonts count="10" x14ac:knownFonts="1">
    <font>
      <sz val="11"/>
      <color theme="1"/>
      <name val="Calibri"/>
      <family val="2"/>
      <scheme val="minor"/>
    </font>
    <font>
      <b/>
      <sz val="11"/>
      <name val="Calibri"/>
    </font>
    <font>
      <i/>
      <sz val="11"/>
      <color rgb="FF595959"/>
      <name val="Calibri"/>
    </font>
    <font>
      <b/>
      <sz val="12"/>
      <name val="Calibri"/>
    </font>
    <font>
      <b/>
      <sz val="11"/>
      <color rgb="FFFFFFFF"/>
      <name val="Calibri"/>
    </font>
    <font>
      <b/>
      <sz val="11"/>
      <color rgb="FFC00000"/>
      <name val="Calibri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2CC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28">
    <xf numFmtId="0" fontId="0" fillId="0" borderId="0" xfId="0"/>
    <xf numFmtId="164" fontId="0" fillId="0" borderId="0" xfId="0" applyNumberFormat="1"/>
    <xf numFmtId="3" fontId="0" fillId="0" borderId="0" xfId="0" applyNumberFormat="1"/>
    <xf numFmtId="165" fontId="0" fillId="0" borderId="0" xfId="0" applyNumberFormat="1"/>
    <xf numFmtId="0" fontId="4" fillId="2" borderId="1" xfId="0" applyFont="1" applyFill="1" applyBorder="1" applyAlignment="1">
      <alignment horizontal="center" vertical="center" wrapText="1"/>
    </xf>
    <xf numFmtId="0" fontId="1" fillId="0" borderId="0" xfId="0" applyFont="1"/>
    <xf numFmtId="2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5" fillId="3" borderId="1" xfId="0" applyFont="1" applyFill="1" applyBorder="1"/>
    <xf numFmtId="164" fontId="0" fillId="3" borderId="1" xfId="0" applyNumberFormat="1" applyFill="1" applyBorder="1"/>
    <xf numFmtId="3" fontId="0" fillId="3" borderId="1" xfId="0" applyNumberFormat="1" applyFill="1" applyBorder="1"/>
    <xf numFmtId="2" fontId="0" fillId="3" borderId="1" xfId="0" applyNumberFormat="1" applyFill="1" applyBorder="1"/>
    <xf numFmtId="167" fontId="0" fillId="3" borderId="1" xfId="0" applyNumberFormat="1" applyFill="1" applyBorder="1"/>
    <xf numFmtId="166" fontId="0" fillId="3" borderId="1" xfId="0" applyNumberFormat="1" applyFill="1" applyBorder="1"/>
    <xf numFmtId="165" fontId="0" fillId="3" borderId="1" xfId="0" applyNumberFormat="1" applyFill="1" applyBorder="1"/>
    <xf numFmtId="0" fontId="0" fillId="0" borderId="0" xfId="0"/>
    <xf numFmtId="0" fontId="2" fillId="0" borderId="0" xfId="0" applyFont="1"/>
    <xf numFmtId="0" fontId="3" fillId="0" borderId="0" xfId="0" applyFont="1"/>
    <xf numFmtId="9" fontId="0" fillId="0" borderId="0" xfId="1" applyFont="1"/>
    <xf numFmtId="166" fontId="7" fillId="3" borderId="1" xfId="0" applyNumberFormat="1" applyFont="1" applyFill="1" applyBorder="1"/>
    <xf numFmtId="165" fontId="7" fillId="3" borderId="1" xfId="0" applyNumberFormat="1" applyFont="1" applyFill="1" applyBorder="1"/>
    <xf numFmtId="165" fontId="0" fillId="0" borderId="0" xfId="1" applyNumberFormat="1" applyFont="1"/>
    <xf numFmtId="3" fontId="7" fillId="3" borderId="1" xfId="0" applyNumberFormat="1" applyFont="1" applyFill="1" applyBorder="1"/>
    <xf numFmtId="0" fontId="9" fillId="2" borderId="1" xfId="0" applyFont="1" applyFill="1" applyBorder="1" applyAlignment="1">
      <alignment horizontal="center" vertical="center" wrapText="1"/>
    </xf>
    <xf numFmtId="167" fontId="8" fillId="4" borderId="1" xfId="0" applyNumberFormat="1" applyFont="1" applyFill="1" applyBorder="1"/>
    <xf numFmtId="0" fontId="8" fillId="0" borderId="0" xfId="0" applyFont="1"/>
    <xf numFmtId="0" fontId="9" fillId="2" borderId="2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'Tabela KPIs'!$T$10:$T$18</c:f>
              <c:numCache>
                <c:formatCode>0.0%</c:formatCode>
                <c:ptCount val="9"/>
                <c:pt idx="0">
                  <c:v>0.93915676641492107</c:v>
                </c:pt>
                <c:pt idx="1">
                  <c:v>0.97765624224296899</c:v>
                </c:pt>
                <c:pt idx="2">
                  <c:v>0.99040059858085239</c:v>
                </c:pt>
                <c:pt idx="3">
                  <c:v>0.9413126794543285</c:v>
                </c:pt>
                <c:pt idx="4">
                  <c:v>0.96386754586926437</c:v>
                </c:pt>
                <c:pt idx="5">
                  <c:v>0.95688324104979972</c:v>
                </c:pt>
                <c:pt idx="6">
                  <c:v>0.94576246637836225</c:v>
                </c:pt>
                <c:pt idx="7">
                  <c:v>0.86928007189711387</c:v>
                </c:pt>
                <c:pt idx="8">
                  <c:v>0.88020925287176244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99-46BC-B12E-7249E48D64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2640703"/>
        <c:axId val="1792641183"/>
      </c:barChart>
      <c:catAx>
        <c:axId val="17926407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2641183"/>
        <c:crosses val="autoZero"/>
        <c:auto val="1"/>
        <c:lblAlgn val="ctr"/>
        <c:lblOffset val="100"/>
        <c:noMultiLvlLbl val="0"/>
      </c:catAx>
      <c:valAx>
        <c:axId val="1792641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26407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219075</xdr:colOff>
      <xdr:row>7</xdr:row>
      <xdr:rowOff>66675</xdr:rowOff>
    </xdr:from>
    <xdr:to>
      <xdr:col>27</xdr:col>
      <xdr:colOff>133350</xdr:colOff>
      <xdr:row>21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81D07D6-2EEE-2573-B7B8-CB07EFEF8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5"/>
  <sheetViews>
    <sheetView tabSelected="1" workbookViewId="0">
      <pane xSplit="1" ySplit="4" topLeftCell="B5" activePane="bottomRight" state="frozen"/>
      <selection pane="topRight"/>
      <selection pane="bottomLeft"/>
      <selection pane="bottomRight" activeCell="B18" sqref="B18"/>
    </sheetView>
  </sheetViews>
  <sheetFormatPr defaultRowHeight="15" x14ac:dyDescent="0.25"/>
  <cols>
    <col min="1" max="1" width="12" customWidth="1"/>
    <col min="2" max="2" width="14" customWidth="1"/>
    <col min="3" max="3" width="11" customWidth="1"/>
    <col min="4" max="4" width="13" customWidth="1"/>
    <col min="5" max="5" width="11" customWidth="1"/>
    <col min="6" max="6" width="12" customWidth="1"/>
    <col min="7" max="7" width="14" customWidth="1"/>
    <col min="8" max="8" width="9" customWidth="1"/>
    <col min="9" max="9" width="13" customWidth="1"/>
    <col min="10" max="10" width="9" customWidth="1"/>
    <col min="11" max="11" width="12" customWidth="1"/>
    <col min="12" max="12" width="9.7109375" bestFit="1" customWidth="1"/>
    <col min="13" max="13" width="23.7109375" bestFit="1" customWidth="1"/>
    <col min="14" max="14" width="18.28515625" bestFit="1" customWidth="1"/>
    <col min="15" max="15" width="14" customWidth="1"/>
    <col min="16" max="16" width="9" customWidth="1"/>
    <col min="17" max="18" width="10" customWidth="1"/>
    <col min="19" max="19" width="11" bestFit="1" customWidth="1"/>
    <col min="20" max="21" width="15" bestFit="1" customWidth="1"/>
  </cols>
  <sheetData>
    <row r="1" spans="1:22" ht="15.75" x14ac:dyDescent="0.25">
      <c r="A1" s="18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</row>
    <row r="2" spans="1:22" x14ac:dyDescent="0.25">
      <c r="A2" s="17" t="s">
        <v>1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</row>
    <row r="4" spans="1:22" ht="32.1" customHeight="1" x14ac:dyDescent="0.25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9</v>
      </c>
      <c r="K4" s="4" t="s">
        <v>11</v>
      </c>
      <c r="L4" s="4" t="s">
        <v>9</v>
      </c>
      <c r="M4" s="4" t="s">
        <v>12</v>
      </c>
      <c r="N4" s="4" t="s">
        <v>9</v>
      </c>
      <c r="O4" s="4" t="s">
        <v>13</v>
      </c>
      <c r="P4" s="4" t="s">
        <v>9</v>
      </c>
      <c r="Q4" s="4" t="s">
        <v>14</v>
      </c>
      <c r="R4" s="4" t="s">
        <v>15</v>
      </c>
      <c r="S4" s="24" t="s">
        <v>33</v>
      </c>
      <c r="T4" s="27" t="s">
        <v>35</v>
      </c>
    </row>
    <row r="5" spans="1:22" x14ac:dyDescent="0.25">
      <c r="A5" s="5" t="s">
        <v>16</v>
      </c>
      <c r="C5" s="2">
        <v>429</v>
      </c>
      <c r="D5" s="2">
        <v>1165</v>
      </c>
    </row>
    <row r="6" spans="1:22" x14ac:dyDescent="0.25">
      <c r="A6" s="5" t="s">
        <v>17</v>
      </c>
      <c r="B6" s="1">
        <v>383.5</v>
      </c>
      <c r="C6" s="2">
        <v>431</v>
      </c>
      <c r="D6" s="2">
        <v>1307</v>
      </c>
      <c r="E6" s="1">
        <f t="shared" ref="E6:E18" si="0">(C6+C5)/2</f>
        <v>430</v>
      </c>
      <c r="F6" s="2">
        <f t="shared" ref="F6:F18" si="1">(D6+D5)/2</f>
        <v>1236</v>
      </c>
      <c r="G6" s="6">
        <f t="shared" ref="G6:G18" si="2">B6*4/E6</f>
        <v>3.5674418604651161</v>
      </c>
      <c r="I6" s="7">
        <f t="shared" ref="I6:I18" si="3">B6*1000/3/F6</f>
        <v>103.42502696871628</v>
      </c>
      <c r="K6" s="6">
        <f t="shared" ref="K6:K18" si="4">F6/E6</f>
        <v>2.8744186046511628</v>
      </c>
    </row>
    <row r="7" spans="1:22" x14ac:dyDescent="0.25">
      <c r="A7" s="5" t="s">
        <v>18</v>
      </c>
      <c r="B7" s="1">
        <v>405.7</v>
      </c>
      <c r="C7" s="2">
        <v>431</v>
      </c>
      <c r="D7" s="2">
        <v>1277</v>
      </c>
      <c r="E7" s="1">
        <f t="shared" si="0"/>
        <v>431</v>
      </c>
      <c r="F7" s="2">
        <f t="shared" si="1"/>
        <v>1292</v>
      </c>
      <c r="G7" s="6">
        <f t="shared" si="2"/>
        <v>3.765197215777262</v>
      </c>
      <c r="I7" s="7">
        <f t="shared" si="3"/>
        <v>104.66976264189887</v>
      </c>
      <c r="K7" s="6">
        <f t="shared" si="4"/>
        <v>2.9976798143851506</v>
      </c>
    </row>
    <row r="8" spans="1:22" x14ac:dyDescent="0.25">
      <c r="A8" s="5" t="s">
        <v>19</v>
      </c>
      <c r="B8" s="1">
        <v>413</v>
      </c>
      <c r="C8" s="2">
        <v>448</v>
      </c>
      <c r="D8" s="2">
        <v>1316</v>
      </c>
      <c r="E8" s="1">
        <f t="shared" si="0"/>
        <v>439.5</v>
      </c>
      <c r="F8" s="2">
        <f t="shared" si="1"/>
        <v>1296.5</v>
      </c>
      <c r="G8" s="6">
        <f t="shared" si="2"/>
        <v>3.7588168373151309</v>
      </c>
      <c r="I8" s="7">
        <f t="shared" si="3"/>
        <v>106.18331405064917</v>
      </c>
      <c r="K8" s="6">
        <f t="shared" si="4"/>
        <v>2.9499431171786119</v>
      </c>
    </row>
    <row r="9" spans="1:22" x14ac:dyDescent="0.25">
      <c r="A9" s="5" t="s">
        <v>20</v>
      </c>
      <c r="B9" s="1">
        <v>425.1</v>
      </c>
      <c r="C9" s="2">
        <v>486</v>
      </c>
      <c r="D9" s="2">
        <v>1353</v>
      </c>
      <c r="E9" s="1">
        <f t="shared" si="0"/>
        <v>467</v>
      </c>
      <c r="F9" s="2">
        <f t="shared" si="1"/>
        <v>1334.5</v>
      </c>
      <c r="G9" s="6">
        <f t="shared" si="2"/>
        <v>3.6411134903640261</v>
      </c>
      <c r="H9" s="8" t="str">
        <f t="shared" ref="H9:H18" si="5">IFERROR(G9/G5-1,"")</f>
        <v/>
      </c>
      <c r="I9" s="7">
        <f t="shared" si="3"/>
        <v>106.18209067066317</v>
      </c>
      <c r="J9" s="8" t="str">
        <f t="shared" ref="J9:J18" si="6">IFERROR(I9/I5-1,"")</f>
        <v/>
      </c>
      <c r="K9" s="6">
        <f t="shared" si="4"/>
        <v>2.8576017130620985</v>
      </c>
      <c r="L9" s="8" t="str">
        <f t="shared" ref="L9:L18" si="7">IFERROR(K9/K5-1,"")</f>
        <v/>
      </c>
      <c r="N9" s="8" t="str">
        <f t="shared" ref="N9:N18" si="8">IFERROR(M9/M5-1,"")</f>
        <v/>
      </c>
      <c r="P9" s="8" t="str">
        <f t="shared" ref="P9:P18" si="9">IFERROR(O9/O5-1,"")</f>
        <v/>
      </c>
    </row>
    <row r="10" spans="1:22" x14ac:dyDescent="0.25">
      <c r="A10" s="5" t="s">
        <v>21</v>
      </c>
      <c r="B10" s="1">
        <v>464.8</v>
      </c>
      <c r="C10" s="2">
        <v>493</v>
      </c>
      <c r="D10" s="2">
        <v>1525</v>
      </c>
      <c r="E10" s="1">
        <f t="shared" si="0"/>
        <v>489.5</v>
      </c>
      <c r="F10" s="2">
        <f t="shared" si="1"/>
        <v>1439</v>
      </c>
      <c r="G10" s="6">
        <f t="shared" si="2"/>
        <v>3.7981613891726251</v>
      </c>
      <c r="H10" s="8">
        <f t="shared" si="5"/>
        <v>6.4673661893239087E-2</v>
      </c>
      <c r="I10" s="7">
        <f t="shared" si="3"/>
        <v>107.66736159369934</v>
      </c>
      <c r="J10" s="8">
        <f t="shared" si="6"/>
        <v>4.1018453166720148E-2</v>
      </c>
      <c r="K10" s="6">
        <f t="shared" si="4"/>
        <v>2.9397344228804902</v>
      </c>
      <c r="L10" s="8">
        <f t="shared" si="7"/>
        <v>2.2723140646125239E-2</v>
      </c>
      <c r="M10" s="6">
        <f t="shared" ref="M10:M16" si="10">F10/(1-Q10)/E10</f>
        <v>3.240090844131478</v>
      </c>
      <c r="N10" s="8" t="str">
        <f t="shared" si="8"/>
        <v/>
      </c>
      <c r="O10" s="7">
        <f t="shared" ref="O10:O17" si="11">B10*(1-R10)*1000/3/F10</f>
        <v>100.41058142228401</v>
      </c>
      <c r="P10" s="8" t="str">
        <f t="shared" si="9"/>
        <v/>
      </c>
      <c r="Q10" s="3">
        <v>9.2699999999999991E-2</v>
      </c>
      <c r="R10" s="3">
        <v>6.7400000000000002E-2</v>
      </c>
      <c r="S10" s="3">
        <f>Q10-R10</f>
        <v>2.5299999999999989E-2</v>
      </c>
      <c r="T10" s="22">
        <f>M10/3.45</f>
        <v>0.93915676641492107</v>
      </c>
    </row>
    <row r="11" spans="1:22" x14ac:dyDescent="0.25">
      <c r="A11" s="5" t="s">
        <v>22</v>
      </c>
      <c r="B11" s="1">
        <v>482</v>
      </c>
      <c r="C11" s="2">
        <v>506</v>
      </c>
      <c r="D11" s="2">
        <v>1515</v>
      </c>
      <c r="E11" s="1">
        <f t="shared" si="0"/>
        <v>499.5</v>
      </c>
      <c r="F11" s="2">
        <f t="shared" si="1"/>
        <v>1520</v>
      </c>
      <c r="G11" s="6">
        <f t="shared" si="2"/>
        <v>3.8598598598598599</v>
      </c>
      <c r="H11" s="8">
        <f t="shared" si="5"/>
        <v>2.5141483608331017E-2</v>
      </c>
      <c r="I11" s="7">
        <f t="shared" si="3"/>
        <v>105.7017543859649</v>
      </c>
      <c r="J11" s="8">
        <f t="shared" si="6"/>
        <v>9.8595020951439682E-3</v>
      </c>
      <c r="K11" s="6">
        <f t="shared" si="4"/>
        <v>3.0430430430430429</v>
      </c>
      <c r="L11" s="8">
        <f t="shared" si="7"/>
        <v>1.5132779838662236E-2</v>
      </c>
      <c r="M11" s="6">
        <f t="shared" si="10"/>
        <v>3.3729140357382432</v>
      </c>
      <c r="N11" s="8" t="str">
        <f t="shared" si="8"/>
        <v/>
      </c>
      <c r="O11" s="7">
        <f t="shared" si="11"/>
        <v>98.186359649122807</v>
      </c>
      <c r="P11" s="8" t="str">
        <f t="shared" si="9"/>
        <v/>
      </c>
      <c r="Q11" s="3">
        <v>9.7799999999999998E-2</v>
      </c>
      <c r="R11" s="3">
        <v>7.1099999999999997E-2</v>
      </c>
      <c r="S11" s="3">
        <f t="shared" ref="S11:S18" si="12">Q11-R11</f>
        <v>2.6700000000000002E-2</v>
      </c>
      <c r="T11" s="22">
        <f t="shared" ref="T11:T18" si="13">M11/3.45</f>
        <v>0.97765624224296899</v>
      </c>
    </row>
    <row r="12" spans="1:22" x14ac:dyDescent="0.25">
      <c r="A12" s="5" t="s">
        <v>23</v>
      </c>
      <c r="B12" s="1">
        <v>503.7</v>
      </c>
      <c r="C12" s="2">
        <v>525</v>
      </c>
      <c r="D12" s="2">
        <v>1559</v>
      </c>
      <c r="E12" s="1">
        <f t="shared" si="0"/>
        <v>515.5</v>
      </c>
      <c r="F12" s="2">
        <f t="shared" si="1"/>
        <v>1537</v>
      </c>
      <c r="G12" s="6">
        <f t="shared" si="2"/>
        <v>3.9084384093113482</v>
      </c>
      <c r="H12" s="8">
        <f t="shared" si="5"/>
        <v>3.9805496908194682E-2</v>
      </c>
      <c r="I12" s="7">
        <f t="shared" si="3"/>
        <v>109.2387768379961</v>
      </c>
      <c r="J12" s="8">
        <f t="shared" si="6"/>
        <v>2.8775357170425897E-2</v>
      </c>
      <c r="K12" s="6">
        <f t="shared" si="4"/>
        <v>2.9815712900096991</v>
      </c>
      <c r="L12" s="8">
        <f t="shared" si="7"/>
        <v>1.0721621256662317E-2</v>
      </c>
      <c r="M12" s="6">
        <f t="shared" si="10"/>
        <v>3.4168820651039411</v>
      </c>
      <c r="N12" s="8" t="str">
        <f t="shared" si="8"/>
        <v/>
      </c>
      <c r="O12" s="7">
        <f t="shared" si="11"/>
        <v>99.112342225113849</v>
      </c>
      <c r="P12" s="8" t="str">
        <f t="shared" si="9"/>
        <v/>
      </c>
      <c r="Q12" s="3">
        <v>0.12740000000000001</v>
      </c>
      <c r="R12" s="3">
        <v>9.2699999999999991E-2</v>
      </c>
      <c r="S12" s="3">
        <f t="shared" si="12"/>
        <v>3.4700000000000022E-2</v>
      </c>
      <c r="T12" s="22">
        <f t="shared" si="13"/>
        <v>0.99040059858085239</v>
      </c>
    </row>
    <row r="13" spans="1:22" x14ac:dyDescent="0.25">
      <c r="A13" s="5" t="s">
        <v>24</v>
      </c>
      <c r="B13" s="1">
        <v>524</v>
      </c>
      <c r="C13" s="2">
        <v>569</v>
      </c>
      <c r="D13" s="2">
        <v>1560</v>
      </c>
      <c r="E13" s="1">
        <f t="shared" si="0"/>
        <v>547</v>
      </c>
      <c r="F13" s="2">
        <f t="shared" si="1"/>
        <v>1559.5</v>
      </c>
      <c r="G13" s="6">
        <f t="shared" si="2"/>
        <v>3.8318098720292504</v>
      </c>
      <c r="H13" s="8">
        <f t="shared" si="5"/>
        <v>5.2373094705751466E-2</v>
      </c>
      <c r="I13" s="7">
        <f t="shared" si="3"/>
        <v>112.00170994977022</v>
      </c>
      <c r="J13" s="8">
        <f t="shared" si="6"/>
        <v>5.4807917628569847E-2</v>
      </c>
      <c r="K13" s="6">
        <f t="shared" si="4"/>
        <v>2.8510054844606949</v>
      </c>
      <c r="L13" s="8">
        <f t="shared" si="7"/>
        <v>-2.3083092970067609E-3</v>
      </c>
      <c r="M13" s="6">
        <f t="shared" si="10"/>
        <v>3.2475287441174334</v>
      </c>
      <c r="N13" s="8" t="str">
        <f t="shared" si="8"/>
        <v/>
      </c>
      <c r="O13" s="7">
        <f t="shared" si="11"/>
        <v>102.05595810623063</v>
      </c>
      <c r="P13" s="8" t="str">
        <f t="shared" si="9"/>
        <v/>
      </c>
      <c r="Q13" s="3">
        <v>0.1221</v>
      </c>
      <c r="R13" s="3">
        <v>8.8800000000000004E-2</v>
      </c>
      <c r="S13" s="3">
        <f t="shared" si="12"/>
        <v>3.3299999999999996E-2</v>
      </c>
      <c r="T13" s="22">
        <f t="shared" si="13"/>
        <v>0.9413126794543285</v>
      </c>
      <c r="U13" s="3"/>
      <c r="V13" s="3"/>
    </row>
    <row r="14" spans="1:22" x14ac:dyDescent="0.25">
      <c r="A14" s="5" t="s">
        <v>25</v>
      </c>
      <c r="B14" s="1">
        <v>577.5</v>
      </c>
      <c r="C14" s="2">
        <v>573</v>
      </c>
      <c r="D14" s="2">
        <v>1715</v>
      </c>
      <c r="E14" s="1">
        <f t="shared" si="0"/>
        <v>571</v>
      </c>
      <c r="F14" s="2">
        <f t="shared" si="1"/>
        <v>1637.5</v>
      </c>
      <c r="G14" s="6">
        <f t="shared" si="2"/>
        <v>4.0455341506129594</v>
      </c>
      <c r="H14" s="8">
        <f t="shared" si="5"/>
        <v>6.512960774797949E-2</v>
      </c>
      <c r="I14" s="7">
        <f t="shared" si="3"/>
        <v>117.55725190839695</v>
      </c>
      <c r="J14" s="8">
        <f t="shared" si="6"/>
        <v>9.185597351237007E-2</v>
      </c>
      <c r="K14" s="6">
        <f t="shared" si="4"/>
        <v>2.8677758318739053</v>
      </c>
      <c r="L14" s="8">
        <f t="shared" si="7"/>
        <v>-2.4477922375068295E-2</v>
      </c>
      <c r="M14" s="6">
        <f t="shared" si="10"/>
        <v>3.3253430332489624</v>
      </c>
      <c r="N14" s="8">
        <f t="shared" si="8"/>
        <v>2.6311666313892035E-2</v>
      </c>
      <c r="O14" s="7">
        <f t="shared" si="11"/>
        <v>104.61419847328243</v>
      </c>
      <c r="P14" s="8">
        <f t="shared" si="9"/>
        <v>4.186428353920002E-2</v>
      </c>
      <c r="Q14" s="3">
        <v>0.1376</v>
      </c>
      <c r="R14" s="3">
        <v>0.1101</v>
      </c>
      <c r="S14" s="3">
        <f t="shared" si="12"/>
        <v>2.7499999999999997E-2</v>
      </c>
      <c r="T14" s="22">
        <f t="shared" si="13"/>
        <v>0.96386754586926437</v>
      </c>
    </row>
    <row r="15" spans="1:22" x14ac:dyDescent="0.25">
      <c r="A15" s="5" t="s">
        <v>26</v>
      </c>
      <c r="B15" s="1">
        <v>595.70000000000005</v>
      </c>
      <c r="C15" s="2">
        <v>587</v>
      </c>
      <c r="D15" s="2">
        <v>1635</v>
      </c>
      <c r="E15" s="1">
        <f t="shared" si="0"/>
        <v>580</v>
      </c>
      <c r="F15" s="2">
        <f t="shared" si="1"/>
        <v>1675</v>
      </c>
      <c r="G15" s="6">
        <f t="shared" si="2"/>
        <v>4.1082758620689654</v>
      </c>
      <c r="H15" s="8">
        <f t="shared" si="5"/>
        <v>6.435881385033615E-2</v>
      </c>
      <c r="I15" s="7">
        <f t="shared" si="3"/>
        <v>118.54726368159203</v>
      </c>
      <c r="J15" s="8">
        <f t="shared" si="6"/>
        <v>0.12152598005821513</v>
      </c>
      <c r="K15" s="6">
        <f t="shared" si="4"/>
        <v>2.8879310344827585</v>
      </c>
      <c r="L15" s="8">
        <f t="shared" si="7"/>
        <v>-5.0972663339382884E-2</v>
      </c>
      <c r="M15" s="6">
        <f t="shared" si="10"/>
        <v>3.3012471816218092</v>
      </c>
      <c r="N15" s="8">
        <f t="shared" si="8"/>
        <v>-2.1247755903968102E-2</v>
      </c>
      <c r="O15" s="7">
        <f t="shared" si="11"/>
        <v>106.66882786069654</v>
      </c>
      <c r="P15" s="8">
        <f t="shared" si="9"/>
        <v>8.6391513463647485E-2</v>
      </c>
      <c r="Q15" s="3">
        <v>0.12520000000000001</v>
      </c>
      <c r="R15" s="3">
        <v>0.1002</v>
      </c>
      <c r="S15" s="3">
        <f t="shared" si="12"/>
        <v>2.5000000000000008E-2</v>
      </c>
      <c r="T15" s="22">
        <f t="shared" si="13"/>
        <v>0.95688324104979972</v>
      </c>
    </row>
    <row r="16" spans="1:22" x14ac:dyDescent="0.25">
      <c r="A16" s="5" t="s">
        <v>27</v>
      </c>
      <c r="B16" s="1">
        <v>605.29999999999995</v>
      </c>
      <c r="C16" s="2">
        <v>605</v>
      </c>
      <c r="D16" s="2">
        <v>1620</v>
      </c>
      <c r="E16" s="1">
        <f t="shared" si="0"/>
        <v>596</v>
      </c>
      <c r="F16" s="2">
        <f t="shared" si="1"/>
        <v>1627.5</v>
      </c>
      <c r="G16" s="6">
        <f t="shared" si="2"/>
        <v>4.0624161073825498</v>
      </c>
      <c r="H16" s="8">
        <f t="shared" si="5"/>
        <v>3.9396219652424236E-2</v>
      </c>
      <c r="I16" s="7">
        <f t="shared" si="3"/>
        <v>123.97337429595494</v>
      </c>
      <c r="J16" s="8">
        <f t="shared" si="6"/>
        <v>0.13488431383491806</v>
      </c>
      <c r="K16" s="6">
        <f t="shared" si="4"/>
        <v>2.7307046979865772</v>
      </c>
      <c r="L16" s="8">
        <f t="shared" si="7"/>
        <v>-8.4139055424801157E-2</v>
      </c>
      <c r="M16" s="6">
        <f>F16/(1-Q16)/E16</f>
        <v>3.2628805090053499</v>
      </c>
      <c r="N16" s="8">
        <f t="shared" si="8"/>
        <v>-4.5070784757654914E-2</v>
      </c>
      <c r="O16" s="7">
        <f t="shared" si="11"/>
        <v>107.79484895033279</v>
      </c>
      <c r="P16" s="8">
        <f t="shared" si="9"/>
        <v>8.7602679245520898E-2</v>
      </c>
      <c r="Q16" s="3">
        <v>0.16309999999999999</v>
      </c>
      <c r="R16" s="3">
        <v>0.1305</v>
      </c>
      <c r="S16" s="3">
        <f t="shared" si="12"/>
        <v>3.259999999999999E-2</v>
      </c>
      <c r="T16" s="22">
        <f t="shared" si="13"/>
        <v>0.94576246637836225</v>
      </c>
    </row>
    <row r="17" spans="1:22" x14ac:dyDescent="0.25">
      <c r="A17" s="5" t="s">
        <v>28</v>
      </c>
      <c r="B17" s="1">
        <v>611.70000000000005</v>
      </c>
      <c r="C17" s="2">
        <v>693</v>
      </c>
      <c r="D17" s="2">
        <v>1595</v>
      </c>
      <c r="E17" s="1">
        <f t="shared" si="0"/>
        <v>649</v>
      </c>
      <c r="F17" s="2">
        <f t="shared" si="1"/>
        <v>1607.5</v>
      </c>
      <c r="G17" s="6">
        <f t="shared" si="2"/>
        <v>3.7701078582434517</v>
      </c>
      <c r="H17" s="8">
        <f t="shared" si="5"/>
        <v>-1.6102577071007595E-2</v>
      </c>
      <c r="I17" s="7">
        <f t="shared" si="3"/>
        <v>126.84292379471229</v>
      </c>
      <c r="J17" s="8">
        <f t="shared" si="6"/>
        <v>0.13250881483504107</v>
      </c>
      <c r="K17" s="6">
        <f t="shared" si="4"/>
        <v>2.4768875192604005</v>
      </c>
      <c r="L17" s="8">
        <f t="shared" si="7"/>
        <v>-0.13122316573553128</v>
      </c>
      <c r="M17" s="6">
        <f>F17/(1-Q17)/E17</f>
        <v>2.9990162480450429</v>
      </c>
      <c r="N17" s="8">
        <f t="shared" si="8"/>
        <v>-7.6523570891418813E-2</v>
      </c>
      <c r="O17" s="7">
        <f t="shared" si="11"/>
        <v>109.17370451010888</v>
      </c>
      <c r="P17" s="8">
        <f t="shared" si="9"/>
        <v>6.9743565549297282E-2</v>
      </c>
      <c r="Q17" s="3">
        <v>0.1741</v>
      </c>
      <c r="R17" s="3">
        <v>0.13930000000000001</v>
      </c>
      <c r="S17" s="3">
        <f t="shared" si="12"/>
        <v>3.4799999999999998E-2</v>
      </c>
      <c r="T17" s="22">
        <f t="shared" si="13"/>
        <v>0.86928007189711387</v>
      </c>
      <c r="U17" s="3"/>
      <c r="V17" s="3"/>
    </row>
    <row r="18" spans="1:22" x14ac:dyDescent="0.25">
      <c r="A18" s="9" t="s">
        <v>29</v>
      </c>
      <c r="B18" s="10">
        <f>O18*F18*3/1000/(1-R18)</f>
        <v>697.16964285714278</v>
      </c>
      <c r="C18" s="23">
        <f>C17+10</f>
        <v>703</v>
      </c>
      <c r="D18" s="23">
        <v>1860</v>
      </c>
      <c r="E18" s="10">
        <f t="shared" si="0"/>
        <v>698</v>
      </c>
      <c r="F18" s="11">
        <f t="shared" si="1"/>
        <v>1727.5</v>
      </c>
      <c r="G18" s="12">
        <f t="shared" si="2"/>
        <v>3.9952415063446578</v>
      </c>
      <c r="H18" s="25">
        <f t="shared" si="5"/>
        <v>-1.2431644968484923E-2</v>
      </c>
      <c r="I18" s="14">
        <f t="shared" si="3"/>
        <v>134.52380952380949</v>
      </c>
      <c r="J18" s="13">
        <f t="shared" si="6"/>
        <v>0.14432591218305468</v>
      </c>
      <c r="K18" s="12">
        <f>F18/E18</f>
        <v>2.4749283667621778</v>
      </c>
      <c r="L18" s="13">
        <f t="shared" si="7"/>
        <v>-0.13698681073514285</v>
      </c>
      <c r="M18" s="12">
        <f>F18/(1-Q18)/E18</f>
        <v>3.0367219224075805</v>
      </c>
      <c r="N18" s="13">
        <f t="shared" si="8"/>
        <v>-8.6794387212254076E-2</v>
      </c>
      <c r="O18" s="20">
        <v>113</v>
      </c>
      <c r="P18" s="13">
        <f t="shared" si="9"/>
        <v>8.0159305802636638E-2</v>
      </c>
      <c r="Q18" s="21">
        <v>0.185</v>
      </c>
      <c r="R18" s="15">
        <f>Q18-2.5%</f>
        <v>0.16</v>
      </c>
      <c r="S18" s="3">
        <f t="shared" si="12"/>
        <v>2.4999999999999994E-2</v>
      </c>
      <c r="T18" s="22">
        <f t="shared" si="13"/>
        <v>0.88020925287176244</v>
      </c>
    </row>
    <row r="20" spans="1:22" x14ac:dyDescent="0.25">
      <c r="M20" s="26" t="s">
        <v>34</v>
      </c>
      <c r="N20" s="26" t="s">
        <v>30</v>
      </c>
    </row>
    <row r="21" spans="1:22" x14ac:dyDescent="0.25">
      <c r="L21" t="s">
        <v>31</v>
      </c>
      <c r="M21" s="19">
        <f>M14/M12-1</f>
        <v>-2.6790222814492726E-2</v>
      </c>
      <c r="N21" t="s">
        <v>31</v>
      </c>
      <c r="O21" s="22">
        <f>O14/O12-1</f>
        <v>5.551131296718026E-2</v>
      </c>
    </row>
    <row r="25" spans="1:22" x14ac:dyDescent="0.25">
      <c r="L25" t="s">
        <v>31</v>
      </c>
      <c r="M25" s="19">
        <f>M18/M16-1</f>
        <v>-6.931255556971383E-2</v>
      </c>
      <c r="N25" t="s">
        <v>32</v>
      </c>
      <c r="O25" s="22">
        <f>O18/O16-1</f>
        <v>4.8287567544767596E-2</v>
      </c>
      <c r="P25" t="s">
        <v>36</v>
      </c>
    </row>
  </sheetData>
  <mergeCells count="2">
    <mergeCell ref="A2:R2"/>
    <mergeCell ref="A1:R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Tabela KPIs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Diogo Bodas</cp:lastModifiedBy>
  <dcterms:created xsi:type="dcterms:W3CDTF">2026-05-01T14:29:17Z</dcterms:created>
  <dcterms:modified xsi:type="dcterms:W3CDTF">2026-05-01T16:19:47Z</dcterms:modified>
</cp:coreProperties>
</file>